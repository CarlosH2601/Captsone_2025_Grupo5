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0006C61A-1E39-4D5A-A71B-E7B41C5240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E6" i="1"/>
  <c r="B76" i="1"/>
  <c r="B63" i="1"/>
  <c r="B49" i="1"/>
  <c r="B57" i="1"/>
  <c r="B56" i="1"/>
  <c r="B55" i="1"/>
  <c r="B54" i="1"/>
  <c r="B53" i="1"/>
  <c r="B52" i="1"/>
  <c r="B51" i="1"/>
  <c r="B37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l="1"/>
  <c r="K58" i="1"/>
  <c r="I58" i="1"/>
  <c r="G58" i="1"/>
  <c r="C58" i="1" l="1"/>
  <c r="C59" i="1" s="1"/>
  <c r="B79" i="1"/>
  <c r="B80" i="1"/>
  <c r="B81" i="1"/>
  <c r="B82" i="1"/>
  <c r="B83" i="1"/>
  <c r="B84" i="1"/>
  <c r="B78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<sst xmlns="http://schemas.openxmlformats.org/spreadsheetml/2006/main" count="164" uniqueCount="66">
  <si>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</si>
  <si>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</si>
  <si>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</si>
  <si>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</si>
  <si>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</si>
  <si>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</si>
  <si>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</si>
  <si>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</si>
  <si>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</si>
  <si>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</si>
  <si>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</si>
  <si>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</si>
  <si>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</si>
  <si>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</si>
  <si>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</si>
  <si>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</si>
  <si>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</si>
  <si>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</si>
  <si>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</si>
  <si>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</si>
  <si>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</si>
  <si>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</si>
  <si>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</si>
  <si>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</si>
  <si>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</si>
  <si>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</si>
  <si>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</si>
  <si>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</si>
  <si>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</si>
  <si>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</si>
  <si>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</si>
  <si>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</si>
  <si>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</si>
  <si>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</si>
  <si>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</si>
  <si>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</si>
  <si>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</si>
  <si>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</si>
  <si>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</si>
  <si>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</si>
  <si>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</si>
  <si>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</si>
  <si>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</si>
  <si>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</si>
  <si>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</si>
  <si>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</si>
  <si>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</si>
  <si>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</si>
  <si>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</si>
  <si>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</si>
  <si>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</si>
  <si>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</si>
  <si>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</si>
  <si>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</si>
  <si>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</si>
  <si>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</si>
  <si>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</si>
  <si>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</si>
  <si>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</si>
  <si>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</si>
  <si>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</si>
  <si>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</si>
  <si>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</si>
  <si>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KARYME VARGAS DIAZ</t>
  </si>
  <si>
    <t>CARLOS LUIS HERRERA DIAZ</t>
  </si>
  <si>
    <t>ESTEBAN MARTIN MARTINEZ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</si>
</sst>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6"/>
  <sheetViews>
    <sheetView tabSelected="1" topLeftCell="A80" zoomScale="85" zoomScaleNormal="85" workbookViewId="0">
      <selection sqref="A1:K8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C73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C86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1" t="s">
        <v>4</v>
      </c>
      <c r="B11" s="11" t="str">
        <f>B4</f>
        <v>KARYME VARGAS DIAZ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CARLOS LUIS HERRERA DIAZ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ESTEBAN MARTIN MARTINEZ SILVA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>
      <c r="A49" s="48" t="s">
        <v>14</v>
      </c>
      <c r="B49" s="11" t="str">
        <f>B4</f>
        <v>KARYME VARGAS DIAZ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9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9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36.6" customHeight="1" x14ac:dyDescent="0.3">
      <c r="A52" s="49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7.6" customHeight="1" x14ac:dyDescent="0.3">
      <c r="A53" s="49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 t="str">
        <f t="shared" si="17"/>
        <v>X</v>
      </c>
      <c r="E53" s="12">
        <f>IF(D53="X",100*0.2,"")</f>
        <v>20</v>
      </c>
      <c r="F53" s="12" t="str">
        <f t="shared" si="18"/>
        <v/>
      </c>
      <c r="G53" s="12" t="str">
        <f>IF(F53="X",60*0.2,"")</f>
        <v/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35.4" customHeight="1" x14ac:dyDescent="0.3">
      <c r="A54" s="49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30.6" customHeight="1" x14ac:dyDescent="0.3">
      <c r="A55" s="49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9.4" customHeight="1" x14ac:dyDescent="0.3">
      <c r="A56" s="49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30" customHeight="1" x14ac:dyDescent="0.3">
      <c r="A57" s="49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15.75" customHeight="1" x14ac:dyDescent="0.35">
      <c r="A58" s="49"/>
      <c r="B58" s="18" t="s">
        <v>12</v>
      </c>
      <c r="C58" s="22">
        <f>E58+G58+I58+K58</f>
        <v>100</v>
      </c>
      <c r="D58" s="13"/>
      <c r="E58" s="13">
        <f>SUM(E51:E57)</f>
        <v>100</v>
      </c>
      <c r="F58" s="13"/>
      <c r="G58" s="13">
        <f>SUM(G51:G57)</f>
        <v>0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50"/>
      <c r="B59" s="21" t="s">
        <v>13</v>
      </c>
      <c r="C59" s="14">
        <f>VLOOKUP(C58,ESCALA_IEP!A40:B240,2,FALSE)</f>
        <v>7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CARLOS LUIS HERRERA DIAZ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71" si="22">IF($C65=CL,"X","")</f>
        <v>X</v>
      </c>
      <c r="E65" s="12">
        <f>IF(D65="X",100*0.15,"")</f>
        <v>15</v>
      </c>
      <c r="F65" s="12" t="str">
        <f t="shared" ref="F65:F71" si="23">IF($C65=L,"X","")</f>
        <v/>
      </c>
      <c r="G65" s="12" t="str">
        <f>IF(F65="X",60*0.15,"")</f>
        <v/>
      </c>
      <c r="H65" s="12" t="str">
        <f t="shared" ref="H65:H71" si="24">IF($C65=ML,"X","")</f>
        <v/>
      </c>
      <c r="I65" s="12" t="str">
        <f>IF(H65="X",30*0.15,"")</f>
        <v/>
      </c>
      <c r="J65" s="12" t="str">
        <f t="shared" ref="J65:J71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2"/>
        <v>X</v>
      </c>
      <c r="E70" s="12">
        <f>IF(D70="X",100*0.2,"")</f>
        <v>20</v>
      </c>
      <c r="F70" s="12" t="str">
        <f t="shared" si="23"/>
        <v/>
      </c>
      <c r="G70" s="12" t="str">
        <f>IF(F70="X",60*0.2,"")</f>
        <v/>
      </c>
      <c r="H70" s="12" t="str">
        <f t="shared" si="24"/>
        <v/>
      </c>
      <c r="I70" s="12" t="str">
        <f>IF(H70="X",30*0.2,"")</f>
        <v/>
      </c>
      <c r="J70" s="12" t="str">
        <f t="shared" si="25"/>
        <v/>
      </c>
      <c r="K70" s="12" t="str">
        <f t="shared" si="26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2"/>
        <v>X</v>
      </c>
      <c r="E71" s="12">
        <f>IF(D71="X",100*0.1,"")</f>
        <v>10</v>
      </c>
      <c r="F71" s="12" t="str">
        <f t="shared" si="23"/>
        <v/>
      </c>
      <c r="G71" s="12" t="str">
        <f>IF(F71="X",60*0.1,"")</f>
        <v/>
      </c>
      <c r="H71" s="12" t="str">
        <f t="shared" si="24"/>
        <v/>
      </c>
      <c r="I71" s="12" t="str">
        <f>IF(H71="X",30*0.1,"")</f>
        <v/>
      </c>
      <c r="J71" s="12" t="str">
        <f t="shared" si="25"/>
        <v/>
      </c>
      <c r="K71" s="12" t="str">
        <f t="shared" si="26"/>
        <v/>
      </c>
    </row>
    <row r="72" spans="1:11" ht="24" customHeight="1" x14ac:dyDescent="0.35">
      <c r="A72" s="49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ESTEBAN MARTIN MARTINEZ SILVA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</sheetData>
  <sheetProtection algorithmName="SHA-512" hashValue="m0EuP80o7aX1zpO8gGtVI25PBUDcII/afbyyIBIQTR+nHA1H8y76dIg5gMt47OiEgHEcPdNdSfJrlUq2iqnSMQ==" saltValue="6aR7WOir0appI7nZcUHRnQ==" spinCount="100000" sheet="1" objects="1" scenarios="1"/>
  <mergeCells count="42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2025-12-11T03:17:42Z</dcterms:modified>
  <cp:category/>
  <cp:contentStatus/>
</cp:coreProperties>
</file>